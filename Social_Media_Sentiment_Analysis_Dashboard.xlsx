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6935" windowHeight="9405"/>
  </bookViews>
  <sheets>
    <sheet name="Executive Dashboard" sheetId="1" r:id="rId1"/>
    <sheet name="Social Media Data" sheetId="2" r:id="rId2"/>
  </sheets>
  <calcPr calcId="124519"/>
</workbook>
</file>

<file path=xl/calcChain.xml><?xml version="1.0" encoding="utf-8"?>
<calcChain xmlns="http://schemas.openxmlformats.org/spreadsheetml/2006/main">
  <c r="F27" i="1"/>
  <c r="E27"/>
  <c r="D27"/>
  <c r="C27"/>
  <c r="F26"/>
  <c r="E26"/>
  <c r="D26"/>
  <c r="C26"/>
  <c r="F25"/>
  <c r="E25"/>
  <c r="D25"/>
  <c r="C25"/>
  <c r="F24"/>
  <c r="E24"/>
  <c r="D24"/>
  <c r="C24"/>
  <c r="F23"/>
  <c r="E23"/>
  <c r="D23"/>
  <c r="C23"/>
  <c r="F22"/>
  <c r="F28" s="1"/>
  <c r="E22"/>
  <c r="E28" s="1"/>
  <c r="D22"/>
  <c r="C22"/>
  <c r="C15"/>
  <c r="C14"/>
  <c r="D14" s="1"/>
  <c r="C13"/>
  <c r="C12"/>
  <c r="D12" s="1"/>
  <c r="D28" l="1"/>
  <c r="G22"/>
  <c r="G23"/>
  <c r="G24"/>
  <c r="G25"/>
  <c r="G26"/>
  <c r="G27"/>
  <c r="D15"/>
  <c r="D13"/>
  <c r="C16"/>
  <c r="D16"/>
  <c r="C28"/>
  <c r="G28" l="1"/>
</calcChain>
</file>

<file path=xl/sharedStrings.xml><?xml version="1.0" encoding="utf-8"?>
<sst xmlns="http://schemas.openxmlformats.org/spreadsheetml/2006/main" count="93" uniqueCount="49">
  <si>
    <t>Social Media Sentiment Analysis Dashboard</t>
  </si>
  <si>
    <t>Public Opinion &amp; Brand Attitude Pattern Tracking</t>
  </si>
  <si>
    <t>Total Tweets Analyzed</t>
  </si>
  <si>
    <t>Positive Sentiment</t>
  </si>
  <si>
    <t>Negative Sentiment</t>
  </si>
  <si>
    <t>Neutral / Irrelevant</t>
  </si>
  <si>
    <t>1. Overall Sentiment Distribution</t>
  </si>
  <si>
    <t>Sentiment Metric</t>
  </si>
  <si>
    <t>Volume</t>
  </si>
  <si>
    <t>Percentage</t>
  </si>
  <si>
    <t>Positive</t>
  </si>
  <si>
    <t>Negative</t>
  </si>
  <si>
    <t>Neutral</t>
  </si>
  <si>
    <t>Irrelevant</t>
  </si>
  <si>
    <t>Total</t>
  </si>
  <si>
    <t>2. Sentiment Pattern Matrix Across Brands</t>
  </si>
  <si>
    <t>Brand / Entity</t>
  </si>
  <si>
    <t>Total Ratio</t>
  </si>
  <si>
    <t>Borderlands</t>
  </si>
  <si>
    <t>Microsoft</t>
  </si>
  <si>
    <t>Google</t>
  </si>
  <si>
    <t>Amazon</t>
  </si>
  <si>
    <t>ApexLegends</t>
  </si>
  <si>
    <t>Facebook</t>
  </si>
  <si>
    <t>Total Posts</t>
  </si>
  <si>
    <t>Tweet ID</t>
  </si>
  <si>
    <t>Entity / Brand</t>
  </si>
  <si>
    <t>Sentiment Polarity</t>
  </si>
  <si>
    <t>Tweet Content</t>
  </si>
  <si>
    <t>I am getting on Borderlands and i will murder you all,</t>
  </si>
  <si>
    <t>So I spent a few hours making something for fun. If you don't know Borderlands is a franchise I absolutely love.</t>
  </si>
  <si>
    <t>Rock-hard Rock-hard Southernamf&amp;nbsp; Reddit to look back at the corporate takeovers...</t>
  </si>
  <si>
    <t>Borderlands 3 is a complete mess and the performance is garbage on PS4 Pro.</t>
  </si>
  <si>
    <t>That was the best stream ever thanks to everyone who came out to support!</t>
  </si>
  <si>
    <t>Microsoft is really screwing over users with this new mandatory Windows update.</t>
  </si>
  <si>
    <t>Microsoft announces new Azure cloud infrastructure expansion in Europe.</t>
  </si>
  <si>
    <t>The new Surface Laptop is incredibly snappy and lightweight. Absolute win.</t>
  </si>
  <si>
    <t>Just saw a bird outside my window while typing this Microsoft Word document.</t>
  </si>
  <si>
    <t>Google Pixel 8 camera is unparalleled. The night sight photo quality is insane.</t>
  </si>
  <si>
    <t>Google search results are getting worse and more ad-filled every single day.</t>
  </si>
  <si>
    <t>Google scheduled its annual developer conference for mid-May.</t>
  </si>
  <si>
    <t>My Amazon package arrived late and completely damaged. Terribly disappointed.</t>
  </si>
  <si>
    <t>AWS customer support went above and beyond to solve our production database issue.</t>
  </si>
  <si>
    <t>Amazon warehouse operations logistics are expanding into three new cities.</t>
  </si>
  <si>
    <t>The new Apex Legends patch broke the ranking system completely. Unplayable.</t>
  </si>
  <si>
    <t>This new seasonal event map is the most creative thing Respawn has done in years!</t>
  </si>
  <si>
    <t>Does anyone want to order pizza while we play Apex tonight?</t>
  </si>
  <si>
    <t>Meta's privacy policies are intrusive and untrustworthy. Deleting my account.</t>
  </si>
  <si>
    <t>Facebook is rebranding some of its internal internal UI interfaces.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</si>
</sst>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b/>
      <sz val="18"/>
      <color rgb="FF2C3E50"/>
      <name val="Segoe UI"/>
      <family val="2"/>
    </font>
    <font>
      <i/>
      <sz val="11"/>
      <color rgb="FF566573"/>
      <name val="Segoe UI"/>
      <family val="2"/>
    </font>
    <font>
      <b/>
      <sz val="9"/>
      <color rgb="FF566573"/>
      <name val="Segoe UI"/>
      <family val="2"/>
    </font>
    <font>
      <b/>
      <sz val="16"/>
      <color rgb="FF2C3E50"/>
      <name val="Segoe UI"/>
      <family val="2"/>
    </font>
    <font>
      <b/>
      <sz val="14"/>
      <color rgb="FF34495E"/>
      <name val="Segoe UI"/>
      <family val="2"/>
    </font>
    <font>
      <b/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5E7E9"/>
        <bgColor rgb="FFE5E7E9"/>
      </patternFill>
    </fill>
    <fill>
      <patternFill patternType="solid">
        <fgColor rgb="FFEAEDED"/>
        <bgColor rgb="FFEAEDED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double">
        <color rgb="FF2C3E5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8" fillId="0" borderId="2" xfId="0" applyFont="1" applyBorder="1"/>
    <xf numFmtId="3" fontId="8" fillId="0" borderId="2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0" fontId="2" fillId="8" borderId="1" xfId="0" applyFont="1" applyFill="1" applyBorder="1"/>
    <xf numFmtId="1" fontId="2" fillId="8" borderId="1" xfId="0" applyNumberFormat="1" applyFont="1" applyFill="1" applyBorder="1" applyAlignment="1">
      <alignment horizontal="right"/>
    </xf>
    <xf numFmtId="0" fontId="8" fillId="8" borderId="1" xfId="0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7" borderId="1" xfId="0" applyFill="1" applyBorder="1"/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of Voice by Sentiment Polarity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'Executive Dashboard'!$C$11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Dashboard'!$B$12:$B$15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  <c:pt idx="3">
                  <c:v>Irrelevant</c:v>
                </c:pt>
              </c:strCache>
            </c:strRef>
          </c:cat>
          <c:val>
            <c:numRef>
              <c:f>'Executive Dashboard'!$C$12:$C$15</c:f>
              <c:numCache>
                <c:formatCode>#,##0</c:formatCode>
                <c:ptCount val="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Sentiment Matrix Breakdown by Brand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'Executive Dashboard'!$C$21</c:f>
              <c:strCache>
                <c:ptCount val="1"/>
                <c:pt idx="0">
                  <c:v>Positive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Dashboard'!$B$22:$B$27</c:f>
              <c:strCache>
                <c:ptCount val="6"/>
                <c:pt idx="0">
                  <c:v>Borderlands</c:v>
                </c:pt>
                <c:pt idx="1">
                  <c:v>Microsoft</c:v>
                </c:pt>
                <c:pt idx="2">
                  <c:v>Google</c:v>
                </c:pt>
                <c:pt idx="3">
                  <c:v>Amazon</c:v>
                </c:pt>
                <c:pt idx="4">
                  <c:v>ApexLegends</c:v>
                </c:pt>
                <c:pt idx="5">
                  <c:v>Facebook</c:v>
                </c:pt>
              </c:strCache>
            </c:strRef>
          </c:cat>
          <c:val>
            <c:numRef>
              <c:f>'Executive Dashboard'!$C$22:$C$27</c:f>
              <c:numCache>
                <c:formatCode>0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'Executive Dashboard'!$D$21</c:f>
              <c:strCache>
                <c:ptCount val="1"/>
                <c:pt idx="0">
                  <c:v>Negative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Dashboard'!$B$22:$B$27</c:f>
              <c:strCache>
                <c:ptCount val="6"/>
                <c:pt idx="0">
                  <c:v>Borderlands</c:v>
                </c:pt>
                <c:pt idx="1">
                  <c:v>Microsoft</c:v>
                </c:pt>
                <c:pt idx="2">
                  <c:v>Google</c:v>
                </c:pt>
                <c:pt idx="3">
                  <c:v>Amazon</c:v>
                </c:pt>
                <c:pt idx="4">
                  <c:v>ApexLegends</c:v>
                </c:pt>
                <c:pt idx="5">
                  <c:v>Facebook</c:v>
                </c:pt>
              </c:strCache>
            </c:strRef>
          </c:cat>
          <c:val>
            <c:numRef>
              <c:f>'Executive Dashboard'!$D$22:$D$27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'Executive Dashboard'!$E$21</c:f>
              <c:strCache>
                <c:ptCount val="1"/>
                <c:pt idx="0">
                  <c:v>Neutral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Dashboard'!$B$22:$B$27</c:f>
              <c:strCache>
                <c:ptCount val="6"/>
                <c:pt idx="0">
                  <c:v>Borderlands</c:v>
                </c:pt>
                <c:pt idx="1">
                  <c:v>Microsoft</c:v>
                </c:pt>
                <c:pt idx="2">
                  <c:v>Google</c:v>
                </c:pt>
                <c:pt idx="3">
                  <c:v>Amazon</c:v>
                </c:pt>
                <c:pt idx="4">
                  <c:v>ApexLegends</c:v>
                </c:pt>
                <c:pt idx="5">
                  <c:v>Facebook</c:v>
                </c:pt>
              </c:strCache>
            </c:strRef>
          </c:cat>
          <c:val>
            <c:numRef>
              <c:f>'Executive Dashboard'!$E$22:$E$27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'Executive Dashboard'!$F$21</c:f>
              <c:strCache>
                <c:ptCount val="1"/>
                <c:pt idx="0">
                  <c:v>Irrelevant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Dashboard'!$B$22:$B$27</c:f>
              <c:strCache>
                <c:ptCount val="6"/>
                <c:pt idx="0">
                  <c:v>Borderlands</c:v>
                </c:pt>
                <c:pt idx="1">
                  <c:v>Microsoft</c:v>
                </c:pt>
                <c:pt idx="2">
                  <c:v>Google</c:v>
                </c:pt>
                <c:pt idx="3">
                  <c:v>Amazon</c:v>
                </c:pt>
                <c:pt idx="4">
                  <c:v>ApexLegends</c:v>
                </c:pt>
                <c:pt idx="5">
                  <c:v>Facebook</c:v>
                </c:pt>
              </c:strCache>
            </c:strRef>
          </c:cat>
          <c:val>
            <c:numRef>
              <c:f>'Executive Dashboard'!$F$22:$F$27</c:f>
              <c:numCache>
                <c:formatCode>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overlap val="100"/>
        <c:axId val="58716544"/>
        <c:axId val="58718464"/>
      </c:barChart>
      <c:catAx>
        <c:axId val="58716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Brands</a:t>
                </a:r>
              </a:p>
            </c:rich>
          </c:tx>
          <c:layout/>
        </c:title>
        <c:majorTickMark val="none"/>
        <c:tickLblPos val="nextTo"/>
        <c:crossAx val="58718464"/>
        <c:crosses val="autoZero"/>
        <c:lblAlgn val="ctr"/>
        <c:lblOffset val="100"/>
      </c:catAx>
      <c:valAx>
        <c:axId val="5871846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Mentions Count</a:t>
                </a:r>
              </a:p>
            </c:rich>
          </c:tx>
          <c:layout/>
        </c:title>
        <c:numFmt formatCode="0" sourceLinked="1"/>
        <c:majorTickMark val="none"/>
        <c:tickLblPos val="nextTo"/>
        <c:crossAx val="5871654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30</xdr:row>
      <xdr:rowOff>0</xdr:rowOff>
    </xdr:from>
    <xdr:ext cx="3960000" cy="234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30</xdr:row>
      <xdr:rowOff>0</xdr:rowOff>
    </xdr:from>
    <xdr:ext cx="5400000" cy="27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28"/>
  <sheetViews>
    <sheetView tabSelected="1" workbookViewId="0">
      <selection activeCell="I28" sqref="I28"/>
    </sheetView>
  </sheetViews>
  <sheetFormatPr defaultRowHeight="15"/>
  <cols>
    <col min="1" max="1" width="3" customWidth="1"/>
    <col min="2" max="2" width="22" customWidth="1"/>
    <col min="3" max="7" width="13" customWidth="1"/>
  </cols>
  <sheetData>
    <row r="2" spans="2:9" ht="26.25">
      <c r="B2" s="1" t="s">
        <v>0</v>
      </c>
    </row>
    <row r="3" spans="2:9" ht="16.5">
      <c r="B3" s="2" t="s">
        <v>1</v>
      </c>
    </row>
    <row r="5" spans="2:9">
      <c r="B5" s="27" t="s">
        <v>2</v>
      </c>
      <c r="C5" s="26"/>
      <c r="D5" s="27" t="s">
        <v>3</v>
      </c>
      <c r="E5" s="26"/>
      <c r="F5" s="27" t="s">
        <v>4</v>
      </c>
      <c r="G5" s="26"/>
      <c r="H5" s="27" t="s">
        <v>5</v>
      </c>
      <c r="I5" s="26"/>
    </row>
    <row r="6" spans="2:9" ht="25.5">
      <c r="B6" s="25">
        <v>20</v>
      </c>
      <c r="C6" s="26"/>
      <c r="D6" s="25">
        <v>7</v>
      </c>
      <c r="E6" s="26"/>
      <c r="F6" s="25">
        <v>6</v>
      </c>
      <c r="G6" s="26"/>
      <c r="H6" s="25">
        <v>7</v>
      </c>
      <c r="I6" s="26"/>
    </row>
    <row r="9" spans="2:9" ht="20.25">
      <c r="B9" s="3" t="s">
        <v>6</v>
      </c>
    </row>
    <row r="11" spans="2:9" ht="16.5">
      <c r="B11" s="4" t="s">
        <v>7</v>
      </c>
      <c r="C11" s="4" t="s">
        <v>8</v>
      </c>
      <c r="D11" s="4" t="s">
        <v>9</v>
      </c>
    </row>
    <row r="12" spans="2:9" ht="16.5">
      <c r="B12" s="5" t="s">
        <v>10</v>
      </c>
      <c r="C12" s="6">
        <f>COUNTIF('Social Media Data'!C2:C21, "Positive")</f>
        <v>7</v>
      </c>
      <c r="D12" s="7">
        <f>C12/SUM(C$12:C$15)</f>
        <v>0.35</v>
      </c>
    </row>
    <row r="13" spans="2:9" ht="16.5">
      <c r="B13" s="5" t="s">
        <v>11</v>
      </c>
      <c r="C13" s="6">
        <f>COUNTIF('Social Media Data'!C2:C21, "Negative")</f>
        <v>6</v>
      </c>
      <c r="D13" s="7">
        <f>C13/SUM(C$12:C$15)</f>
        <v>0.3</v>
      </c>
    </row>
    <row r="14" spans="2:9" ht="16.5">
      <c r="B14" s="5" t="s">
        <v>12</v>
      </c>
      <c r="C14" s="6">
        <f>COUNTIF('Social Media Data'!C2:C21, "Neutral")</f>
        <v>5</v>
      </c>
      <c r="D14" s="7">
        <f>C14/SUM(C$12:C$15)</f>
        <v>0.25</v>
      </c>
    </row>
    <row r="15" spans="2:9" ht="16.5">
      <c r="B15" s="5" t="s">
        <v>13</v>
      </c>
      <c r="C15" s="6">
        <f>COUNTIF('Social Media Data'!C2:C21, "Irrelevant")</f>
        <v>2</v>
      </c>
      <c r="D15" s="7">
        <f>C15/SUM(C$12:C$15)</f>
        <v>0.1</v>
      </c>
    </row>
    <row r="16" spans="2:9" ht="16.5">
      <c r="B16" s="8" t="s">
        <v>14</v>
      </c>
      <c r="C16" s="9">
        <f>SUM(C12:C15)</f>
        <v>20</v>
      </c>
      <c r="D16" s="10">
        <f>SUM(D12:D15)</f>
        <v>0.99999999999999989</v>
      </c>
    </row>
    <row r="19" spans="2:7" ht="20.25">
      <c r="B19" s="3" t="s">
        <v>15</v>
      </c>
    </row>
    <row r="21" spans="2:7" ht="16.5">
      <c r="B21" s="4" t="s">
        <v>16</v>
      </c>
      <c r="C21" s="4" t="s">
        <v>10</v>
      </c>
      <c r="D21" s="4" t="s">
        <v>11</v>
      </c>
      <c r="E21" s="4" t="s">
        <v>12</v>
      </c>
      <c r="F21" s="4" t="s">
        <v>13</v>
      </c>
      <c r="G21" s="4" t="s">
        <v>17</v>
      </c>
    </row>
    <row r="22" spans="2:7" ht="16.5">
      <c r="B22" s="11" t="s">
        <v>18</v>
      </c>
      <c r="C22" s="12">
        <f>COUNTIFS('Social Media Data'!B$2:B$21, B22, 'Social Media Data'!C$2:C$21, "Positive")</f>
        <v>3</v>
      </c>
      <c r="D22" s="12">
        <f>COUNTIFS('Social Media Data'!B$2:B$21, B22, 'Social Media Data'!C$2:C$21, "Negative")</f>
        <v>1</v>
      </c>
      <c r="E22" s="12">
        <f>COUNTIFS('Social Media Data'!B$2:B$21, B22, 'Social Media Data'!C$2:C$21, "Neutral")</f>
        <v>1</v>
      </c>
      <c r="F22" s="12">
        <f>COUNTIFS('Social Media Data'!B$2:B$21, B22, 'Social Media Data'!C$2:C$21, "Irrelevant")</f>
        <v>0</v>
      </c>
      <c r="G22" s="13">
        <f t="shared" ref="G22:G27" si="0">SUM(C22:F22)</f>
        <v>5</v>
      </c>
    </row>
    <row r="23" spans="2:7" ht="16.5">
      <c r="B23" s="5" t="s">
        <v>19</v>
      </c>
      <c r="C23" s="14">
        <f>COUNTIFS('Social Media Data'!B$2:B$21, B23, 'Social Media Data'!C$2:C$21, "Positive")</f>
        <v>1</v>
      </c>
      <c r="D23" s="14">
        <f>COUNTIFS('Social Media Data'!B$2:B$21, B23, 'Social Media Data'!C$2:C$21, "Negative")</f>
        <v>1</v>
      </c>
      <c r="E23" s="14">
        <f>COUNTIFS('Social Media Data'!B$2:B$21, B23, 'Social Media Data'!C$2:C$21, "Neutral")</f>
        <v>1</v>
      </c>
      <c r="F23" s="14">
        <f>COUNTIFS('Social Media Data'!B$2:B$21, B23, 'Social Media Data'!C$2:C$21, "Irrelevant")</f>
        <v>1</v>
      </c>
      <c r="G23" s="15">
        <f t="shared" si="0"/>
        <v>4</v>
      </c>
    </row>
    <row r="24" spans="2:7" ht="16.5">
      <c r="B24" s="11" t="s">
        <v>20</v>
      </c>
      <c r="C24" s="12">
        <f>COUNTIFS('Social Media Data'!B$2:B$21, B24, 'Social Media Data'!C$2:C$21, "Positive")</f>
        <v>1</v>
      </c>
      <c r="D24" s="12">
        <f>COUNTIFS('Social Media Data'!B$2:B$21, B24, 'Social Media Data'!C$2:C$21, "Negative")</f>
        <v>1</v>
      </c>
      <c r="E24" s="12">
        <f>COUNTIFS('Social Media Data'!B$2:B$21, B24, 'Social Media Data'!C$2:C$21, "Neutral")</f>
        <v>1</v>
      </c>
      <c r="F24" s="12">
        <f>COUNTIFS('Social Media Data'!B$2:B$21, B24, 'Social Media Data'!C$2:C$21, "Irrelevant")</f>
        <v>0</v>
      </c>
      <c r="G24" s="13">
        <f t="shared" si="0"/>
        <v>3</v>
      </c>
    </row>
    <row r="25" spans="2:7" ht="16.5">
      <c r="B25" s="5" t="s">
        <v>21</v>
      </c>
      <c r="C25" s="14">
        <f>COUNTIFS('Social Media Data'!B$2:B$21, B25, 'Social Media Data'!C$2:C$21, "Positive")</f>
        <v>1</v>
      </c>
      <c r="D25" s="14">
        <f>COUNTIFS('Social Media Data'!B$2:B$21, B25, 'Social Media Data'!C$2:C$21, "Negative")</f>
        <v>1</v>
      </c>
      <c r="E25" s="14">
        <f>COUNTIFS('Social Media Data'!B$2:B$21, B25, 'Social Media Data'!C$2:C$21, "Neutral")</f>
        <v>1</v>
      </c>
      <c r="F25" s="14">
        <f>COUNTIFS('Social Media Data'!B$2:B$21, B25, 'Social Media Data'!C$2:C$21, "Irrelevant")</f>
        <v>0</v>
      </c>
      <c r="G25" s="15">
        <f t="shared" si="0"/>
        <v>3</v>
      </c>
    </row>
    <row r="26" spans="2:7" ht="16.5">
      <c r="B26" s="11" t="s">
        <v>22</v>
      </c>
      <c r="C26" s="12">
        <f>COUNTIFS('Social Media Data'!B$2:B$21, B26, 'Social Media Data'!C$2:C$21, "Positive")</f>
        <v>1</v>
      </c>
      <c r="D26" s="12">
        <f>COUNTIFS('Social Media Data'!B$2:B$21, B26, 'Social Media Data'!C$2:C$21, "Negative")</f>
        <v>1</v>
      </c>
      <c r="E26" s="12">
        <f>COUNTIFS('Social Media Data'!B$2:B$21, B26, 'Social Media Data'!C$2:C$21, "Neutral")</f>
        <v>0</v>
      </c>
      <c r="F26" s="12">
        <f>COUNTIFS('Social Media Data'!B$2:B$21, B26, 'Social Media Data'!C$2:C$21, "Irrelevant")</f>
        <v>1</v>
      </c>
      <c r="G26" s="13">
        <f t="shared" si="0"/>
        <v>3</v>
      </c>
    </row>
    <row r="27" spans="2:7" ht="16.5">
      <c r="B27" s="5" t="s">
        <v>23</v>
      </c>
      <c r="C27" s="14">
        <f>COUNTIFS('Social Media Data'!B$2:B$21, B27, 'Social Media Data'!C$2:C$21, "Positive")</f>
        <v>0</v>
      </c>
      <c r="D27" s="14">
        <f>COUNTIFS('Social Media Data'!B$2:B$21, B27, 'Social Media Data'!C$2:C$21, "Negative")</f>
        <v>1</v>
      </c>
      <c r="E27" s="14">
        <f>COUNTIFS('Social Media Data'!B$2:B$21, B27, 'Social Media Data'!C$2:C$21, "Neutral")</f>
        <v>1</v>
      </c>
      <c r="F27" s="14">
        <f>COUNTIFS('Social Media Data'!B$2:B$21, B27, 'Social Media Data'!C$2:C$21, "Irrelevant")</f>
        <v>0</v>
      </c>
      <c r="G27" s="15">
        <f t="shared" si="0"/>
        <v>2</v>
      </c>
    </row>
    <row r="28" spans="2:7" ht="16.5">
      <c r="B28" s="8" t="s">
        <v>24</v>
      </c>
      <c r="C28" s="16">
        <f>SUM(C22:C27)</f>
        <v>7</v>
      </c>
      <c r="D28" s="16">
        <f>SUM(D22:D27)</f>
        <v>6</v>
      </c>
      <c r="E28" s="16">
        <f>SUM(E22:E27)</f>
        <v>5</v>
      </c>
      <c r="F28" s="16">
        <f>SUM(F22:F27)</f>
        <v>2</v>
      </c>
      <c r="G28" s="16">
        <f>SUM(G22:G27)</f>
        <v>20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12" customWidth="1"/>
    <col min="2" max="2" width="17" customWidth="1"/>
    <col min="3" max="3" width="21" customWidth="1"/>
    <col min="4" max="4" width="45" customWidth="1"/>
  </cols>
  <sheetData>
    <row r="1" spans="1:4" ht="16.5">
      <c r="A1" s="17" t="s">
        <v>25</v>
      </c>
      <c r="B1" s="17" t="s">
        <v>26</v>
      </c>
      <c r="C1" s="17" t="s">
        <v>27</v>
      </c>
      <c r="D1" s="17" t="s">
        <v>28</v>
      </c>
    </row>
    <row r="2" spans="1:4" ht="33">
      <c r="A2" s="18">
        <v>2401</v>
      </c>
      <c r="B2" s="19" t="s">
        <v>18</v>
      </c>
      <c r="C2" s="20" t="s">
        <v>10</v>
      </c>
      <c r="D2" s="21" t="s">
        <v>29</v>
      </c>
    </row>
    <row r="3" spans="1:4" ht="49.5">
      <c r="A3" s="18">
        <v>2401</v>
      </c>
      <c r="B3" s="19" t="s">
        <v>18</v>
      </c>
      <c r="C3" s="20" t="s">
        <v>10</v>
      </c>
      <c r="D3" s="21" t="s">
        <v>30</v>
      </c>
    </row>
    <row r="4" spans="1:4" ht="49.5">
      <c r="A4" s="18">
        <v>2402</v>
      </c>
      <c r="B4" s="19" t="s">
        <v>18</v>
      </c>
      <c r="C4" s="22" t="s">
        <v>12</v>
      </c>
      <c r="D4" s="21" t="s">
        <v>31</v>
      </c>
    </row>
    <row r="5" spans="1:4" ht="33">
      <c r="A5" s="18">
        <v>2403</v>
      </c>
      <c r="B5" s="19" t="s">
        <v>18</v>
      </c>
      <c r="C5" s="23" t="s">
        <v>11</v>
      </c>
      <c r="D5" s="21" t="s">
        <v>32</v>
      </c>
    </row>
    <row r="6" spans="1:4" ht="33">
      <c r="A6" s="18">
        <v>2404</v>
      </c>
      <c r="B6" s="19" t="s">
        <v>18</v>
      </c>
      <c r="C6" s="20" t="s">
        <v>10</v>
      </c>
      <c r="D6" s="21" t="s">
        <v>33</v>
      </c>
    </row>
    <row r="7" spans="1:4" ht="33">
      <c r="A7" s="18">
        <v>3112</v>
      </c>
      <c r="B7" s="19" t="s">
        <v>19</v>
      </c>
      <c r="C7" s="23" t="s">
        <v>11</v>
      </c>
      <c r="D7" s="21" t="s">
        <v>34</v>
      </c>
    </row>
    <row r="8" spans="1:4" ht="33">
      <c r="A8" s="18">
        <v>3113</v>
      </c>
      <c r="B8" s="19" t="s">
        <v>19</v>
      </c>
      <c r="C8" s="22" t="s">
        <v>12</v>
      </c>
      <c r="D8" s="21" t="s">
        <v>35</v>
      </c>
    </row>
    <row r="9" spans="1:4" ht="33">
      <c r="A9" s="18">
        <v>3114</v>
      </c>
      <c r="B9" s="19" t="s">
        <v>19</v>
      </c>
      <c r="C9" s="20" t="s">
        <v>10</v>
      </c>
      <c r="D9" s="21" t="s">
        <v>36</v>
      </c>
    </row>
    <row r="10" spans="1:4" ht="33">
      <c r="A10" s="18">
        <v>3115</v>
      </c>
      <c r="B10" s="19" t="s">
        <v>19</v>
      </c>
      <c r="C10" s="24" t="s">
        <v>13</v>
      </c>
      <c r="D10" s="21" t="s">
        <v>37</v>
      </c>
    </row>
    <row r="11" spans="1:4" ht="33">
      <c r="A11" s="18">
        <v>4521</v>
      </c>
      <c r="B11" s="19" t="s">
        <v>20</v>
      </c>
      <c r="C11" s="20" t="s">
        <v>10</v>
      </c>
      <c r="D11" s="21" t="s">
        <v>38</v>
      </c>
    </row>
    <row r="12" spans="1:4" ht="33">
      <c r="A12" s="18">
        <v>4522</v>
      </c>
      <c r="B12" s="19" t="s">
        <v>20</v>
      </c>
      <c r="C12" s="23" t="s">
        <v>11</v>
      </c>
      <c r="D12" s="21" t="s">
        <v>39</v>
      </c>
    </row>
    <row r="13" spans="1:4" ht="33">
      <c r="A13" s="18">
        <v>4523</v>
      </c>
      <c r="B13" s="19" t="s">
        <v>20</v>
      </c>
      <c r="C13" s="22" t="s">
        <v>12</v>
      </c>
      <c r="D13" s="21" t="s">
        <v>40</v>
      </c>
    </row>
    <row r="14" spans="1:4" ht="33">
      <c r="A14" s="18">
        <v>5201</v>
      </c>
      <c r="B14" s="19" t="s">
        <v>21</v>
      </c>
      <c r="C14" s="23" t="s">
        <v>11</v>
      </c>
      <c r="D14" s="21" t="s">
        <v>41</v>
      </c>
    </row>
    <row r="15" spans="1:4" ht="49.5">
      <c r="A15" s="18">
        <v>5202</v>
      </c>
      <c r="B15" s="19" t="s">
        <v>21</v>
      </c>
      <c r="C15" s="20" t="s">
        <v>10</v>
      </c>
      <c r="D15" s="21" t="s">
        <v>42</v>
      </c>
    </row>
    <row r="16" spans="1:4" ht="33">
      <c r="A16" s="18">
        <v>5203</v>
      </c>
      <c r="B16" s="19" t="s">
        <v>21</v>
      </c>
      <c r="C16" s="22" t="s">
        <v>12</v>
      </c>
      <c r="D16" s="21" t="s">
        <v>43</v>
      </c>
    </row>
    <row r="17" spans="1:4" ht="33">
      <c r="A17" s="18">
        <v>6401</v>
      </c>
      <c r="B17" s="19" t="s">
        <v>22</v>
      </c>
      <c r="C17" s="23" t="s">
        <v>11</v>
      </c>
      <c r="D17" s="21" t="s">
        <v>44</v>
      </c>
    </row>
    <row r="18" spans="1:4" ht="33">
      <c r="A18" s="18">
        <v>6402</v>
      </c>
      <c r="B18" s="19" t="s">
        <v>22</v>
      </c>
      <c r="C18" s="20" t="s">
        <v>10</v>
      </c>
      <c r="D18" s="21" t="s">
        <v>45</v>
      </c>
    </row>
    <row r="19" spans="1:4" ht="33">
      <c r="A19" s="18">
        <v>6403</v>
      </c>
      <c r="B19" s="19" t="s">
        <v>22</v>
      </c>
      <c r="C19" s="24" t="s">
        <v>13</v>
      </c>
      <c r="D19" s="21" t="s">
        <v>46</v>
      </c>
    </row>
    <row r="20" spans="1:4" ht="33">
      <c r="A20" s="18">
        <v>7201</v>
      </c>
      <c r="B20" s="19" t="s">
        <v>23</v>
      </c>
      <c r="C20" s="23" t="s">
        <v>11</v>
      </c>
      <c r="D20" s="21" t="s">
        <v>47</v>
      </c>
    </row>
    <row r="21" spans="1:4" ht="33">
      <c r="A21" s="18">
        <v>7202</v>
      </c>
      <c r="B21" s="19" t="s">
        <v>23</v>
      </c>
      <c r="C21" s="22" t="s">
        <v>12</v>
      </c>
      <c r="D21" s="2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Social Media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2026-06-07T05:19:33Z</dcterms:created>
  <dcterms:modified xsi:type="dcterms:W3CDTF">2026-06-07T05:30:08Z</dcterms:modified>
</cp:coreProperties>
</file>